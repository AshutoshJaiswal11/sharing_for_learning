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ashutoshjaiswal/Documents/Python/DOS/UCBs/2024/NNSB/"/>
    </mc:Choice>
  </mc:AlternateContent>
  <xr:revisionPtr revIDLastSave="0" documentId="13_ncr:1_{4113CB0D-C862-B147-970F-BB4D6D178A7E}" xr6:coauthVersionLast="47" xr6:coauthVersionMax="47" xr10:uidLastSave="{00000000-0000-0000-0000-000000000000}"/>
  <bookViews>
    <workbookView xWindow="0" yWindow="0" windowWidth="38400" windowHeight="21600" tabRatio="599" xr2:uid="{00000000-000D-0000-FFFF-FFFF00000000}"/>
  </bookViews>
  <sheets>
    <sheet name="BS" sheetId="3" r:id="rId1"/>
    <sheet name="P&amp;L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3" l="1"/>
  <c r="N16" i="3"/>
  <c r="O15" i="3"/>
  <c r="N15" i="3"/>
  <c r="O6" i="4"/>
  <c r="O10" i="4"/>
  <c r="O7" i="4"/>
  <c r="N7" i="4"/>
  <c r="N6" i="4"/>
  <c r="B6" i="4"/>
  <c r="D6" i="4"/>
  <c r="C6" i="4"/>
  <c r="F6" i="4"/>
  <c r="E6" i="4"/>
  <c r="H14" i="3"/>
  <c r="G14" i="3"/>
  <c r="H6" i="4"/>
  <c r="G6" i="4"/>
  <c r="I14" i="3"/>
  <c r="I6" i="4"/>
  <c r="I7" i="4"/>
  <c r="J14" i="3"/>
  <c r="K14" i="3"/>
  <c r="J6" i="4"/>
  <c r="M15" i="3"/>
  <c r="L19" i="3"/>
  <c r="M19" i="3"/>
  <c r="L15" i="3"/>
  <c r="M14" i="3"/>
  <c r="L14" i="3"/>
  <c r="M6" i="4"/>
  <c r="L7" i="4"/>
  <c r="L8" i="4" s="1"/>
  <c r="L4" i="4" l="1"/>
  <c r="L9" i="4" s="1"/>
  <c r="L11" i="4" s="1"/>
  <c r="K20" i="3"/>
  <c r="K19" i="3"/>
  <c r="H19" i="3"/>
  <c r="H20" i="3"/>
  <c r="G15" i="3"/>
  <c r="F15" i="3"/>
  <c r="E3" i="4" l="1"/>
  <c r="D3" i="4"/>
  <c r="E20" i="3"/>
  <c r="C3" i="4" l="1"/>
  <c r="B10" i="4"/>
  <c r="B3" i="4"/>
  <c r="B8" i="4" l="1"/>
  <c r="M20" i="3"/>
  <c r="L20" i="3"/>
  <c r="J20" i="3"/>
  <c r="I20" i="3"/>
  <c r="G20" i="3"/>
  <c r="F20" i="3"/>
  <c r="D20" i="3"/>
  <c r="C20" i="3"/>
  <c r="B20" i="3"/>
  <c r="B28" i="3" s="1"/>
  <c r="J19" i="3"/>
  <c r="I19" i="3"/>
  <c r="G19" i="3"/>
  <c r="F19" i="3"/>
  <c r="E19" i="3"/>
  <c r="D19" i="3"/>
  <c r="C19" i="3"/>
  <c r="B19" i="3"/>
  <c r="O12" i="3"/>
  <c r="G28" i="3" l="1"/>
  <c r="O28" i="3"/>
  <c r="O8" i="4"/>
  <c r="O4" i="4"/>
  <c r="C28" i="3"/>
  <c r="O9" i="4" l="1"/>
  <c r="O11" i="4" s="1"/>
  <c r="F28" i="3"/>
  <c r="E28" i="3"/>
  <c r="D28" i="3"/>
  <c r="H28" i="3" l="1"/>
  <c r="I28" i="3"/>
  <c r="J28" i="3"/>
  <c r="K28" i="3"/>
  <c r="L28" i="3"/>
  <c r="M28" i="3"/>
  <c r="N8" i="4"/>
  <c r="N28" i="3"/>
  <c r="C12" i="3"/>
  <c r="D12" i="3"/>
  <c r="E12" i="3"/>
  <c r="F12" i="3"/>
  <c r="G12" i="3"/>
  <c r="H12" i="3"/>
  <c r="I12" i="3"/>
  <c r="J12" i="3"/>
  <c r="K12" i="3"/>
  <c r="L12" i="3"/>
  <c r="M12" i="3"/>
  <c r="N12" i="3"/>
  <c r="B12" i="3"/>
  <c r="M8" i="4"/>
  <c r="N4" i="4"/>
  <c r="N9" i="4" l="1"/>
  <c r="N11" i="4" s="1"/>
  <c r="M4" i="4"/>
  <c r="M9" i="4" l="1"/>
  <c r="M11" i="4" s="1"/>
  <c r="I4" i="4"/>
  <c r="H8" i="4"/>
  <c r="G8" i="4"/>
  <c r="H4" i="4"/>
  <c r="G4" i="4"/>
  <c r="F8" i="4"/>
  <c r="F4" i="4"/>
  <c r="E8" i="4"/>
  <c r="D4" i="4"/>
  <c r="C4" i="4"/>
  <c r="C8" i="4"/>
  <c r="B4" i="4"/>
  <c r="D8" i="4"/>
  <c r="E4" i="4"/>
  <c r="J4" i="4"/>
  <c r="K8" i="4"/>
  <c r="K4" i="4"/>
  <c r="C9" i="4" l="1"/>
  <c r="C11" i="4" s="1"/>
  <c r="B9" i="4"/>
  <c r="B11" i="4" s="1"/>
  <c r="D9" i="4"/>
  <c r="D11" i="4" s="1"/>
  <c r="E9" i="4"/>
  <c r="E11" i="4" s="1"/>
  <c r="F9" i="4"/>
  <c r="F11" i="4" s="1"/>
  <c r="G9" i="4"/>
  <c r="G11" i="4" s="1"/>
  <c r="H9" i="4"/>
  <c r="H11" i="4" s="1"/>
  <c r="K9" i="4"/>
  <c r="K11" i="4" s="1"/>
  <c r="I8" i="4"/>
  <c r="I9" i="4" s="1"/>
  <c r="I11" i="4" s="1"/>
  <c r="J8" i="4"/>
  <c r="J9" i="4" l="1"/>
  <c r="J11" i="4" s="1"/>
</calcChain>
</file>

<file path=xl/sharedStrings.xml><?xml version="1.0" encoding="utf-8"?>
<sst xmlns="http://schemas.openxmlformats.org/spreadsheetml/2006/main" count="39" uniqueCount="39">
  <si>
    <t>Income</t>
  </si>
  <si>
    <t>Interest &amp; Discount</t>
  </si>
  <si>
    <t xml:space="preserve">Deposits </t>
  </si>
  <si>
    <t>Borrowings</t>
  </si>
  <si>
    <t>Overdue Interest Reserve</t>
  </si>
  <si>
    <t xml:space="preserve">Interest Payable </t>
  </si>
  <si>
    <t xml:space="preserve">Other Liabilities </t>
  </si>
  <si>
    <t>Branch Adjustments</t>
  </si>
  <si>
    <t>Money At call and short notice</t>
  </si>
  <si>
    <t>Investments</t>
  </si>
  <si>
    <t>NBAs</t>
  </si>
  <si>
    <t xml:space="preserve">Reserve Fund &amp; other Reserves </t>
  </si>
  <si>
    <t>Interest paid</t>
  </si>
  <si>
    <t>Operating Expenses</t>
  </si>
  <si>
    <t>Total operating expenses</t>
  </si>
  <si>
    <t>Provision against risks/ contingencies</t>
  </si>
  <si>
    <t>Fixed Assets</t>
  </si>
  <si>
    <t>Operating Profit before provisions &amp; taxes</t>
  </si>
  <si>
    <t>Other receipts(including non-operating income)</t>
  </si>
  <si>
    <t>Appropiation</t>
  </si>
  <si>
    <t>Profit brought Forward</t>
  </si>
  <si>
    <t>ITEMS</t>
  </si>
  <si>
    <t>Total Income</t>
  </si>
  <si>
    <t>Other Operating expenses</t>
  </si>
  <si>
    <t>Overdue advances</t>
  </si>
  <si>
    <t xml:space="preserve">Paid up capital </t>
  </si>
  <si>
    <t>Contingent Liabilities</t>
  </si>
  <si>
    <t>Loans &amp; Advances</t>
  </si>
  <si>
    <t>Bills Purchased &amp; Discounted</t>
  </si>
  <si>
    <t>Principal / Subsi. State Partner fund A/c</t>
  </si>
  <si>
    <t>Profit or (Loss)</t>
  </si>
  <si>
    <t xml:space="preserve">Cash + Balance with RBI + StCB + DCCB </t>
  </si>
  <si>
    <t>Interest Receivable</t>
  </si>
  <si>
    <t>Interest Receivable on NPAs</t>
  </si>
  <si>
    <t>Other Assets</t>
  </si>
  <si>
    <t>Balances with other Banks as FDR</t>
  </si>
  <si>
    <t>Total Assets</t>
  </si>
  <si>
    <t>Balances with other Banks</t>
  </si>
  <si>
    <t>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</si>
</sst>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#,##0.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4" fillId="0" borderId="1" xfId="0" applyFont="1" applyBorder="1"/>
    <xf numFmtId="0" fontId="3" fillId="2" borderId="0" xfId="0" applyFont="1" applyFill="1"/>
    <xf numFmtId="0" fontId="4" fillId="2" borderId="1" xfId="0" applyFont="1" applyFill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3" fillId="0" borderId="0" xfId="3" applyFont="1" applyFill="1"/>
    <xf numFmtId="14" fontId="5" fillId="0" borderId="1" xfId="0" applyNumberFormat="1" applyFont="1" applyBorder="1"/>
    <xf numFmtId="14" fontId="5" fillId="0" borderId="0" xfId="0" applyNumberFormat="1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4" fillId="3" borderId="1" xfId="0" applyFont="1" applyFill="1" applyBorder="1"/>
    <xf numFmtId="0" fontId="3" fillId="3" borderId="0" xfId="0" applyFont="1" applyFill="1"/>
    <xf numFmtId="4" fontId="3" fillId="0" borderId="1" xfId="0" applyNumberFormat="1" applyFont="1" applyBorder="1"/>
    <xf numFmtId="4" fontId="3" fillId="3" borderId="1" xfId="0" applyNumberFormat="1" applyFont="1" applyFill="1" applyBorder="1" applyAlignment="1">
      <alignment horizontal="right"/>
    </xf>
    <xf numFmtId="4" fontId="3" fillId="0" borderId="0" xfId="0" applyNumberFormat="1" applyFont="1"/>
    <xf numFmtId="4" fontId="3" fillId="2" borderId="1" xfId="0" applyNumberFormat="1" applyFont="1" applyFill="1" applyBorder="1" applyAlignment="1">
      <alignment horizontal="right"/>
    </xf>
    <xf numFmtId="164" fontId="3" fillId="0" borderId="0" xfId="3" applyFont="1"/>
    <xf numFmtId="4" fontId="3" fillId="0" borderId="3" xfId="0" applyNumberFormat="1" applyFont="1" applyBorder="1"/>
    <xf numFmtId="4" fontId="3" fillId="0" borderId="0" xfId="0" applyNumberFormat="1" applyFont="1" applyAlignment="1">
      <alignment horizontal="center"/>
    </xf>
    <xf numFmtId="165" fontId="3" fillId="0" borderId="0" xfId="0" applyNumberFormat="1" applyFont="1"/>
    <xf numFmtId="166" fontId="3" fillId="0" borderId="0" xfId="0" applyNumberFormat="1" applyFont="1"/>
    <xf numFmtId="0" fontId="6" fillId="0" borderId="4" xfId="0" applyFont="1" applyBorder="1" applyAlignment="1">
      <alignment horizontal="left"/>
    </xf>
    <xf numFmtId="4" fontId="3" fillId="0" borderId="4" xfId="0" applyNumberFormat="1" applyFont="1" applyBorder="1"/>
    <xf numFmtId="4" fontId="3" fillId="0" borderId="5" xfId="0" applyNumberFormat="1" applyFont="1" applyBorder="1"/>
    <xf numFmtId="0" fontId="6" fillId="0" borderId="2" xfId="0" applyFont="1" applyBorder="1" applyAlignment="1">
      <alignment horizontal="left"/>
    </xf>
    <xf numFmtId="4" fontId="3" fillId="0" borderId="2" xfId="0" applyNumberFormat="1" applyFont="1" applyBorder="1"/>
    <xf numFmtId="4" fontId="3" fillId="0" borderId="6" xfId="0" applyNumberFormat="1" applyFont="1" applyBorder="1"/>
    <xf numFmtId="4" fontId="4" fillId="0" borderId="10" xfId="0" applyNumberFormat="1" applyFont="1" applyBorder="1"/>
    <xf numFmtId="0" fontId="6" fillId="3" borderId="7" xfId="0" applyFont="1" applyFill="1" applyBorder="1" applyAlignment="1">
      <alignment horizontal="left"/>
    </xf>
    <xf numFmtId="4" fontId="4" fillId="3" borderId="8" xfId="0" applyNumberFormat="1" applyFont="1" applyFill="1" applyBorder="1" applyAlignment="1">
      <alignment horizontal="right"/>
    </xf>
    <xf numFmtId="4" fontId="4" fillId="3" borderId="9" xfId="0" applyNumberFormat="1" applyFont="1" applyFill="1" applyBorder="1" applyAlignment="1">
      <alignment horizontal="right"/>
    </xf>
    <xf numFmtId="0" fontId="4" fillId="3" borderId="10" xfId="0" applyFont="1" applyFill="1" applyBorder="1"/>
    <xf numFmtId="0" fontId="7" fillId="0" borderId="4" xfId="0" applyFont="1" applyBorder="1" applyAlignment="1">
      <alignment horizontal="left"/>
    </xf>
    <xf numFmtId="4" fontId="4" fillId="0" borderId="1" xfId="0" applyNumberFormat="1" applyFont="1" applyBorder="1"/>
    <xf numFmtId="4" fontId="4" fillId="0" borderId="3" xfId="0" applyNumberFormat="1" applyFont="1" applyBorder="1"/>
    <xf numFmtId="4" fontId="4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left"/>
    </xf>
    <xf numFmtId="0" fontId="7" fillId="3" borderId="7" xfId="0" applyFont="1" applyFill="1" applyBorder="1" applyAlignment="1">
      <alignment horizontal="left"/>
    </xf>
    <xf numFmtId="165" fontId="3" fillId="0" borderId="2" xfId="0" applyNumberFormat="1" applyFont="1" applyBorder="1"/>
    <xf numFmtId="4" fontId="3" fillId="0" borderId="1" xfId="0" applyNumberFormat="1" applyFont="1" applyBorder="1" applyAlignment="1">
      <alignment horizontal="right"/>
    </xf>
  </cellXfs>
  <cellStyles count="4">
    <cellStyle name="Comma" xfId="3" builtinId="3"/>
    <cellStyle name="Comma 2" xfId="1" xr:uid="{00000000-0005-0000-0000-000001000000}"/>
    <cellStyle name="Comma 2 2" xfId="2" xr:uid="{00000000-0005-0000-0000-000002000000}"/>
    <cellStyle name="Normal" xfId="0" builtinId="0"/>
  </cellStyles>
  <dxfs count="0"/>
  <tableStyles count="0" defaultTableStyle="TableStyleMedium9" defaultPivotStyle="PivotStyleLight16"/>
  <colors>
    <mruColors>
      <color rgb="FF00FFFF"/>
      <color rgb="FF6666FF"/>
      <color rgb="FFFF99CC"/>
      <color rgb="FFFFFF00"/>
      <color rgb="FFCCFF99"/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sential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M44" sqref="M44"/>
    </sheetView>
  </sheetViews>
  <sheetFormatPr baseColWidth="10" defaultColWidth="9.1640625" defaultRowHeight="16" x14ac:dyDescent="0.2"/>
  <cols>
    <col min="1" max="1" width="54.5" style="2" bestFit="1" customWidth="1"/>
    <col min="2" max="7" width="19.5" style="2" bestFit="1" customWidth="1"/>
    <col min="8" max="8" width="19.5" style="2" customWidth="1"/>
    <col min="9" max="9" width="19.5" style="2" bestFit="1" customWidth="1"/>
    <col min="10" max="12" width="19.5" style="1" bestFit="1" customWidth="1"/>
    <col min="13" max="13" width="18.5" style="10" bestFit="1" customWidth="1"/>
    <col min="14" max="15" width="18.5" style="1" bestFit="1" customWidth="1"/>
    <col min="16" max="16" width="17.83203125" style="1" bestFit="1" customWidth="1"/>
    <col min="17" max="16384" width="9.1640625" style="1"/>
  </cols>
  <sheetData>
    <row r="1" spans="1:16" x14ac:dyDescent="0.2">
      <c r="A1" s="3" t="s">
        <v>21</v>
      </c>
      <c r="B1" s="4">
        <v>40633</v>
      </c>
      <c r="C1" s="4">
        <v>41729</v>
      </c>
      <c r="D1" s="4">
        <v>42094</v>
      </c>
      <c r="E1" s="4">
        <v>42460</v>
      </c>
      <c r="F1" s="4">
        <v>42825</v>
      </c>
      <c r="G1" s="4">
        <v>43190</v>
      </c>
      <c r="H1" s="4">
        <v>43555</v>
      </c>
      <c r="I1" s="4">
        <v>43921</v>
      </c>
      <c r="J1" s="4">
        <v>44286</v>
      </c>
      <c r="K1" s="4">
        <v>44651</v>
      </c>
      <c r="L1" s="4">
        <v>45016</v>
      </c>
      <c r="M1" s="4">
        <v>45382</v>
      </c>
      <c r="N1" s="4">
        <v>45747</v>
      </c>
      <c r="O1" s="4">
        <v>46112</v>
      </c>
    </row>
    <row r="2" spans="1:16" x14ac:dyDescent="0.2">
      <c r="A2" s="13" t="s">
        <v>25</v>
      </c>
      <c r="B2" s="18">
        <v>14.57</v>
      </c>
      <c r="C2" s="18">
        <v>14.84</v>
      </c>
      <c r="D2" s="18">
        <v>15.64</v>
      </c>
      <c r="E2" s="18">
        <v>15.83</v>
      </c>
      <c r="F2" s="18">
        <v>15.22</v>
      </c>
      <c r="G2" s="18">
        <v>15.38</v>
      </c>
      <c r="H2" s="18">
        <v>16.13</v>
      </c>
      <c r="I2" s="18">
        <v>18.350000000000001</v>
      </c>
      <c r="J2" s="18">
        <v>20.149999999999999</v>
      </c>
      <c r="K2" s="18">
        <v>21.43</v>
      </c>
      <c r="L2" s="18">
        <v>23.39</v>
      </c>
      <c r="M2" s="18">
        <v>24.74</v>
      </c>
      <c r="N2" s="18">
        <v>24.41</v>
      </c>
      <c r="O2" s="18">
        <v>23.94</v>
      </c>
    </row>
    <row r="3" spans="1:16" x14ac:dyDescent="0.2">
      <c r="A3" s="13" t="s">
        <v>11</v>
      </c>
      <c r="B3" s="18">
        <v>88.2</v>
      </c>
      <c r="C3" s="18">
        <v>92.57</v>
      </c>
      <c r="D3" s="18">
        <v>95.94</v>
      </c>
      <c r="E3" s="18">
        <v>100.25</v>
      </c>
      <c r="F3" s="18">
        <v>104.74</v>
      </c>
      <c r="G3" s="18">
        <v>111.22</v>
      </c>
      <c r="H3" s="18">
        <v>118.13</v>
      </c>
      <c r="I3" s="18">
        <v>128.6</v>
      </c>
      <c r="J3" s="18">
        <v>139.94999999999999</v>
      </c>
      <c r="K3" s="18">
        <v>202.13</v>
      </c>
      <c r="L3" s="23">
        <v>216.46</v>
      </c>
      <c r="M3" s="18">
        <v>222.17</v>
      </c>
      <c r="N3" s="18">
        <v>262.25</v>
      </c>
      <c r="O3" s="18">
        <v>263.76</v>
      </c>
      <c r="P3" s="20"/>
    </row>
    <row r="4" spans="1:16" ht="14.25" customHeight="1" x14ac:dyDescent="0.2">
      <c r="A4" s="14" t="s">
        <v>29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23">
        <v>0</v>
      </c>
      <c r="M4" s="18">
        <v>0</v>
      </c>
      <c r="N4" s="18">
        <v>0</v>
      </c>
      <c r="O4" s="18">
        <v>0</v>
      </c>
      <c r="P4" s="20"/>
    </row>
    <row r="5" spans="1:16" x14ac:dyDescent="0.2">
      <c r="A5" s="13" t="s">
        <v>2</v>
      </c>
      <c r="B5" s="18">
        <v>565.15</v>
      </c>
      <c r="C5" s="18">
        <v>642.55999999999995</v>
      </c>
      <c r="D5" s="18">
        <v>746.98</v>
      </c>
      <c r="E5" s="18">
        <v>872.88</v>
      </c>
      <c r="F5" s="18">
        <v>1039.18</v>
      </c>
      <c r="G5" s="18">
        <v>1142.6099999999999</v>
      </c>
      <c r="H5" s="18">
        <v>1355.43</v>
      </c>
      <c r="I5" s="18">
        <v>1366.59</v>
      </c>
      <c r="J5" s="18">
        <v>1498.51</v>
      </c>
      <c r="K5" s="18">
        <v>1663.26</v>
      </c>
      <c r="L5" s="23">
        <v>1967.72</v>
      </c>
      <c r="M5" s="18">
        <v>2071.38</v>
      </c>
      <c r="N5" s="18">
        <v>2206.13</v>
      </c>
      <c r="O5" s="18">
        <v>2530.66</v>
      </c>
      <c r="P5" s="20"/>
    </row>
    <row r="6" spans="1:16" x14ac:dyDescent="0.2">
      <c r="A6" s="13" t="s">
        <v>3</v>
      </c>
      <c r="B6" s="18">
        <v>59.93</v>
      </c>
      <c r="C6" s="18">
        <v>119.88</v>
      </c>
      <c r="D6" s="18">
        <v>69.94</v>
      </c>
      <c r="E6" s="18">
        <v>23.98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23">
        <v>0</v>
      </c>
      <c r="M6" s="18">
        <v>0</v>
      </c>
      <c r="N6" s="18">
        <v>0</v>
      </c>
      <c r="O6" s="18">
        <v>0</v>
      </c>
      <c r="P6" s="20"/>
    </row>
    <row r="7" spans="1:16" x14ac:dyDescent="0.2">
      <c r="A7" s="13" t="s">
        <v>4</v>
      </c>
      <c r="B7" s="18">
        <v>1.96</v>
      </c>
      <c r="C7" s="18">
        <v>1.64</v>
      </c>
      <c r="D7" s="18">
        <v>1.37</v>
      </c>
      <c r="E7" s="18">
        <v>1.44</v>
      </c>
      <c r="F7" s="18">
        <v>1.59</v>
      </c>
      <c r="G7" s="18">
        <v>2.76</v>
      </c>
      <c r="H7" s="18">
        <v>4.07</v>
      </c>
      <c r="I7" s="18">
        <v>4.21</v>
      </c>
      <c r="J7" s="18">
        <v>4.1399999999999997</v>
      </c>
      <c r="K7" s="18">
        <v>3.99</v>
      </c>
      <c r="L7" s="23">
        <v>4.03</v>
      </c>
      <c r="M7" s="18">
        <v>4.3</v>
      </c>
      <c r="N7" s="18">
        <v>4.6399999999999997</v>
      </c>
      <c r="O7" s="18">
        <v>4.75</v>
      </c>
      <c r="P7" s="20"/>
    </row>
    <row r="8" spans="1:16" x14ac:dyDescent="0.2">
      <c r="A8" s="27" t="s">
        <v>5</v>
      </c>
      <c r="B8" s="28">
        <v>0.59</v>
      </c>
      <c r="C8" s="28">
        <v>0.72</v>
      </c>
      <c r="D8" s="28">
        <v>0.91</v>
      </c>
      <c r="E8" s="28">
        <v>0.89</v>
      </c>
      <c r="F8" s="28">
        <v>0.88</v>
      </c>
      <c r="G8" s="28">
        <v>1.0900000000000001</v>
      </c>
      <c r="H8" s="28">
        <v>1.21</v>
      </c>
      <c r="I8" s="28">
        <v>1.19</v>
      </c>
      <c r="J8" s="28">
        <v>0.21</v>
      </c>
      <c r="K8" s="28">
        <v>0.3</v>
      </c>
      <c r="L8" s="29">
        <v>0.24</v>
      </c>
      <c r="M8" s="28">
        <v>0.24</v>
      </c>
      <c r="N8" s="28">
        <v>0.25</v>
      </c>
      <c r="O8" s="28">
        <v>0.18</v>
      </c>
      <c r="P8" s="20"/>
    </row>
    <row r="9" spans="1:16" x14ac:dyDescent="0.2">
      <c r="A9" s="43" t="s">
        <v>6</v>
      </c>
      <c r="B9" s="20">
        <v>11.06</v>
      </c>
      <c r="C9" s="20">
        <v>13.91</v>
      </c>
      <c r="D9" s="20">
        <v>16.7</v>
      </c>
      <c r="E9" s="20">
        <v>20.66</v>
      </c>
      <c r="F9" s="20">
        <v>20.03</v>
      </c>
      <c r="G9" s="20">
        <v>24.26</v>
      </c>
      <c r="H9" s="20">
        <v>22.49</v>
      </c>
      <c r="I9" s="20">
        <v>25.69</v>
      </c>
      <c r="J9" s="20">
        <v>29.62</v>
      </c>
      <c r="K9" s="20">
        <v>29.32</v>
      </c>
      <c r="L9" s="20">
        <v>112.66</v>
      </c>
      <c r="M9" s="20">
        <v>23.39</v>
      </c>
      <c r="N9" s="20">
        <v>40.270000000000003</v>
      </c>
      <c r="O9" s="20">
        <v>17.03</v>
      </c>
      <c r="P9" s="20"/>
    </row>
    <row r="10" spans="1:16" x14ac:dyDescent="0.2">
      <c r="A10" s="30" t="s">
        <v>30</v>
      </c>
      <c r="B10" s="31">
        <v>4.5199999999999996</v>
      </c>
      <c r="C10" s="31">
        <v>4.67</v>
      </c>
      <c r="D10" s="31">
        <v>5.67</v>
      </c>
      <c r="E10" s="31">
        <v>5.94</v>
      </c>
      <c r="F10" s="31">
        <v>7.85</v>
      </c>
      <c r="G10" s="31">
        <v>7.2</v>
      </c>
      <c r="H10" s="31">
        <v>9.9600000000000222</v>
      </c>
      <c r="I10" s="31">
        <v>10.249999999999988</v>
      </c>
      <c r="J10" s="31">
        <v>12.02999999999999</v>
      </c>
      <c r="K10" s="31">
        <v>14.340000000000002</v>
      </c>
      <c r="L10" s="32">
        <v>12.42</v>
      </c>
      <c r="M10" s="31">
        <v>12.8</v>
      </c>
      <c r="N10" s="31">
        <v>13.54</v>
      </c>
      <c r="O10" s="31">
        <v>18.420000000000002</v>
      </c>
      <c r="P10" s="20"/>
    </row>
    <row r="11" spans="1:16" ht="17" thickBot="1" x14ac:dyDescent="0.25">
      <c r="A11" s="27" t="s">
        <v>19</v>
      </c>
      <c r="B11" s="28">
        <v>4.5199999999999996</v>
      </c>
      <c r="C11" s="28">
        <v>4.67</v>
      </c>
      <c r="D11" s="28">
        <v>5.67</v>
      </c>
      <c r="E11" s="28">
        <v>5.94</v>
      </c>
      <c r="F11" s="28">
        <v>7.85</v>
      </c>
      <c r="G11" s="28">
        <v>7.2</v>
      </c>
      <c r="H11" s="28">
        <v>9.9600000000000222</v>
      </c>
      <c r="I11" s="28">
        <v>10.249999999999988</v>
      </c>
      <c r="J11" s="28">
        <v>12.02999999999999</v>
      </c>
      <c r="K11" s="28">
        <v>14.340000000000002</v>
      </c>
      <c r="L11" s="29">
        <v>12.42</v>
      </c>
      <c r="M11" s="28">
        <v>12.8</v>
      </c>
      <c r="N11" s="28">
        <v>13.54</v>
      </c>
      <c r="O11" s="28">
        <v>18.420000000000002</v>
      </c>
      <c r="P11" s="20"/>
    </row>
    <row r="12" spans="1:16" s="37" customFormat="1" ht="17" thickBot="1" x14ac:dyDescent="0.25">
      <c r="A12" s="34" t="s">
        <v>20</v>
      </c>
      <c r="B12" s="35">
        <f>B10-B11</f>
        <v>0</v>
      </c>
      <c r="C12" s="35">
        <f t="shared" ref="C12:N12" si="0">C10-C11</f>
        <v>0</v>
      </c>
      <c r="D12" s="35">
        <f t="shared" si="0"/>
        <v>0</v>
      </c>
      <c r="E12" s="35">
        <f t="shared" si="0"/>
        <v>0</v>
      </c>
      <c r="F12" s="35">
        <f t="shared" si="0"/>
        <v>0</v>
      </c>
      <c r="G12" s="35">
        <f t="shared" si="0"/>
        <v>0</v>
      </c>
      <c r="H12" s="35">
        <f t="shared" si="0"/>
        <v>0</v>
      </c>
      <c r="I12" s="35">
        <f t="shared" si="0"/>
        <v>0</v>
      </c>
      <c r="J12" s="35">
        <f t="shared" si="0"/>
        <v>0</v>
      </c>
      <c r="K12" s="35">
        <f t="shared" si="0"/>
        <v>0</v>
      </c>
      <c r="L12" s="36">
        <f t="shared" si="0"/>
        <v>0</v>
      </c>
      <c r="M12" s="35">
        <f t="shared" si="0"/>
        <v>0</v>
      </c>
      <c r="N12" s="35">
        <f t="shared" si="0"/>
        <v>0</v>
      </c>
      <c r="O12" s="35">
        <f>O10-O11</f>
        <v>0</v>
      </c>
      <c r="P12" s="33"/>
    </row>
    <row r="13" spans="1:16" x14ac:dyDescent="0.2">
      <c r="A13" s="30" t="s">
        <v>7</v>
      </c>
      <c r="B13" s="45">
        <v>2E-3</v>
      </c>
      <c r="C13" s="45">
        <v>2E-3</v>
      </c>
      <c r="D13" s="31">
        <v>7.0000000000000001E-3</v>
      </c>
      <c r="E13" s="31">
        <v>0.89</v>
      </c>
      <c r="F13" s="31">
        <v>2E-3</v>
      </c>
      <c r="G13" s="31">
        <v>0.05</v>
      </c>
      <c r="H13" s="31">
        <v>0.04</v>
      </c>
      <c r="I13" s="31">
        <v>7.0000000000000007E-2</v>
      </c>
      <c r="J13" s="31">
        <v>0.03</v>
      </c>
      <c r="K13" s="31">
        <v>0.02</v>
      </c>
      <c r="L13" s="32">
        <v>0.3</v>
      </c>
      <c r="M13" s="31">
        <v>0.03</v>
      </c>
      <c r="N13" s="31">
        <v>0.15</v>
      </c>
      <c r="O13" s="31">
        <v>0.35</v>
      </c>
      <c r="P13" s="20"/>
    </row>
    <row r="14" spans="1:16" x14ac:dyDescent="0.2">
      <c r="A14" s="13" t="s">
        <v>26</v>
      </c>
      <c r="B14" s="18">
        <v>5.76</v>
      </c>
      <c r="C14" s="18">
        <v>7.14</v>
      </c>
      <c r="D14" s="18">
        <v>9.5299999999999994</v>
      </c>
      <c r="E14" s="18">
        <v>13.69</v>
      </c>
      <c r="F14" s="18">
        <v>13.6</v>
      </c>
      <c r="G14" s="18">
        <f>8.76+10.25+2.1</f>
        <v>21.11</v>
      </c>
      <c r="H14" s="18">
        <f>9.16+17.45+2.1</f>
        <v>28.71</v>
      </c>
      <c r="I14" s="18">
        <f>10.14+13.37+3.49</f>
        <v>27</v>
      </c>
      <c r="J14" s="18">
        <f>12.58+1.69+3.97</f>
        <v>18.239999999999998</v>
      </c>
      <c r="K14" s="18">
        <f>12.33+1.28+4.31</f>
        <v>17.919999999999998</v>
      </c>
      <c r="L14" s="23">
        <f>15.99+5.81+4.86+0.55</f>
        <v>27.21</v>
      </c>
      <c r="M14" s="18">
        <f>15.44+1.11+5.29+1.49</f>
        <v>23.33</v>
      </c>
      <c r="N14" s="18">
        <v>25.52</v>
      </c>
      <c r="O14" s="18">
        <v>31.1</v>
      </c>
      <c r="P14" s="20"/>
    </row>
    <row r="15" spans="1:16" x14ac:dyDescent="0.2">
      <c r="A15" s="38" t="s">
        <v>31</v>
      </c>
      <c r="B15" s="28">
        <v>36.61</v>
      </c>
      <c r="C15" s="28">
        <v>36.99</v>
      </c>
      <c r="D15" s="28">
        <v>36.67</v>
      </c>
      <c r="E15" s="28">
        <v>42.4</v>
      </c>
      <c r="F15" s="28">
        <f>4.92+56.24+0.18</f>
        <v>61.34</v>
      </c>
      <c r="G15" s="28">
        <f>3.95+53.07+0.19</f>
        <v>57.21</v>
      </c>
      <c r="H15" s="28">
        <v>60.36</v>
      </c>
      <c r="I15" s="28">
        <v>78.08</v>
      </c>
      <c r="J15" s="28">
        <v>93.6</v>
      </c>
      <c r="K15" s="28">
        <v>176.24</v>
      </c>
      <c r="L15" s="29">
        <f>6.78+85.83+0.35</f>
        <v>92.96</v>
      </c>
      <c r="M15" s="28">
        <f>9.35+183.9+2.02</f>
        <v>195.27</v>
      </c>
      <c r="N15" s="28">
        <f>11.26+145.25+0.42+0.09</f>
        <v>157.01999999999998</v>
      </c>
      <c r="O15" s="28">
        <f>10.65+218.6+0.02+0.01</f>
        <v>229.28</v>
      </c>
      <c r="P15" s="20"/>
    </row>
    <row r="16" spans="1:16" x14ac:dyDescent="0.2">
      <c r="A16" s="38" t="s">
        <v>37</v>
      </c>
      <c r="B16" s="28">
        <v>10.5</v>
      </c>
      <c r="C16" s="28">
        <v>6.02</v>
      </c>
      <c r="D16" s="28">
        <v>9.18</v>
      </c>
      <c r="E16" s="28">
        <v>5.68</v>
      </c>
      <c r="F16" s="28">
        <v>10.19</v>
      </c>
      <c r="G16" s="28">
        <v>9.7100000000000009</v>
      </c>
      <c r="H16" s="28">
        <v>14.84</v>
      </c>
      <c r="I16" s="28">
        <v>20.73</v>
      </c>
      <c r="J16" s="28">
        <v>9.32</v>
      </c>
      <c r="K16" s="28">
        <v>11.68</v>
      </c>
      <c r="L16" s="29">
        <v>12.32</v>
      </c>
      <c r="M16" s="28">
        <v>28.58</v>
      </c>
      <c r="N16" s="28">
        <f>1.31+28.07</f>
        <v>29.38</v>
      </c>
      <c r="O16" s="28">
        <f>0.19+23.6</f>
        <v>23.790000000000003</v>
      </c>
      <c r="P16" s="20"/>
    </row>
    <row r="17" spans="1:16" x14ac:dyDescent="0.2">
      <c r="A17" s="38" t="s">
        <v>35</v>
      </c>
      <c r="B17" s="28">
        <v>76.209999999999994</v>
      </c>
      <c r="C17" s="28">
        <v>84.83</v>
      </c>
      <c r="D17" s="28">
        <v>113.85</v>
      </c>
      <c r="E17" s="28">
        <v>94.16</v>
      </c>
      <c r="F17" s="28">
        <v>150.97</v>
      </c>
      <c r="G17" s="28">
        <v>180.51</v>
      </c>
      <c r="H17" s="28">
        <v>190.08</v>
      </c>
      <c r="I17" s="28">
        <v>114.54</v>
      </c>
      <c r="J17" s="28">
        <v>98.81</v>
      </c>
      <c r="K17" s="28">
        <v>151.46</v>
      </c>
      <c r="L17" s="29">
        <v>153.16</v>
      </c>
      <c r="M17" s="28">
        <v>97.08</v>
      </c>
      <c r="N17" s="28">
        <v>87.75</v>
      </c>
      <c r="O17" s="28">
        <v>182.7</v>
      </c>
      <c r="P17" s="20"/>
    </row>
    <row r="18" spans="1:16" x14ac:dyDescent="0.2">
      <c r="A18" s="15" t="s">
        <v>8</v>
      </c>
      <c r="B18" s="18">
        <v>0</v>
      </c>
      <c r="C18" s="18">
        <v>0</v>
      </c>
      <c r="D18" s="18">
        <v>0</v>
      </c>
      <c r="E18" s="18">
        <v>0</v>
      </c>
      <c r="F18" s="18">
        <v>24.96</v>
      </c>
      <c r="G18" s="18">
        <v>29.97</v>
      </c>
      <c r="H18" s="18">
        <v>125</v>
      </c>
      <c r="I18" s="18">
        <v>0</v>
      </c>
      <c r="J18" s="18">
        <v>0</v>
      </c>
      <c r="K18" s="18">
        <v>0</v>
      </c>
      <c r="L18" s="23">
        <v>103</v>
      </c>
      <c r="M18" s="18">
        <v>0</v>
      </c>
      <c r="N18" s="18">
        <v>0</v>
      </c>
      <c r="O18" s="18">
        <v>0</v>
      </c>
      <c r="P18" s="20"/>
    </row>
    <row r="19" spans="1:16" s="42" customFormat="1" x14ac:dyDescent="0.2">
      <c r="A19" s="15" t="s">
        <v>9</v>
      </c>
      <c r="B19" s="39">
        <f>279.46+0.18</f>
        <v>279.64</v>
      </c>
      <c r="C19" s="39">
        <f>360.82+0.18</f>
        <v>361</v>
      </c>
      <c r="D19" s="39">
        <f>325.97+0.18</f>
        <v>326.15000000000003</v>
      </c>
      <c r="E19" s="39">
        <f>343.76+0.18</f>
        <v>343.94</v>
      </c>
      <c r="F19" s="39">
        <f>304.48+0.18</f>
        <v>304.66000000000003</v>
      </c>
      <c r="G19" s="39">
        <f>293.01+0.18</f>
        <v>293.19</v>
      </c>
      <c r="H19" s="39">
        <f>324.67+0.18+26.91</f>
        <v>351.76000000000005</v>
      </c>
      <c r="I19" s="39">
        <f>352.89+0.18+26.92</f>
        <v>379.99</v>
      </c>
      <c r="J19" s="39">
        <f>407.04+0.18+26.92</f>
        <v>434.14000000000004</v>
      </c>
      <c r="K19" s="39">
        <f>386.6+0.18+42.67</f>
        <v>429.45000000000005</v>
      </c>
      <c r="L19" s="40">
        <f>678.86+0.18+48.37</f>
        <v>727.41</v>
      </c>
      <c r="M19" s="39">
        <f>774.27+0.18+30.45</f>
        <v>804.9</v>
      </c>
      <c r="N19" s="39">
        <v>786.71</v>
      </c>
      <c r="O19" s="39">
        <v>788.87</v>
      </c>
      <c r="P19" s="41"/>
    </row>
    <row r="20" spans="1:16" x14ac:dyDescent="0.2">
      <c r="A20" s="38" t="s">
        <v>27</v>
      </c>
      <c r="B20" s="28">
        <f>191.3+62+61.48</f>
        <v>314.78000000000003</v>
      </c>
      <c r="C20" s="28">
        <f>216.17+69.23+81.99</f>
        <v>367.39</v>
      </c>
      <c r="D20" s="28">
        <f>253.59+74.31+97.08</f>
        <v>424.97999999999996</v>
      </c>
      <c r="E20" s="28">
        <f>294.11+76.39+137.72+0.01</f>
        <v>508.23</v>
      </c>
      <c r="F20" s="28">
        <f>346.89+77.27+165.29</f>
        <v>589.44999999999993</v>
      </c>
      <c r="G20" s="28">
        <f>390.7+90.58+196.88</f>
        <v>678.16</v>
      </c>
      <c r="H20" s="28">
        <f>373.51+100.32+254.65</f>
        <v>728.48</v>
      </c>
      <c r="I20" s="28">
        <f>467.11+111.17+323.19</f>
        <v>901.47</v>
      </c>
      <c r="J20" s="28">
        <f>521.67+76.14+410.06</f>
        <v>1007.8699999999999</v>
      </c>
      <c r="K20" s="28">
        <f>530.04+80.73+430.37</f>
        <v>1041.1399999999999</v>
      </c>
      <c r="L20" s="29">
        <f>530.14+133.99+379.79</f>
        <v>1043.92</v>
      </c>
      <c r="M20" s="28">
        <f>606.25+120.81+401.67</f>
        <v>1128.73</v>
      </c>
      <c r="N20" s="28">
        <v>1327.59</v>
      </c>
      <c r="O20" s="28">
        <v>1513.36</v>
      </c>
      <c r="P20" s="20"/>
    </row>
    <row r="21" spans="1:16" x14ac:dyDescent="0.2">
      <c r="A21" s="38" t="s">
        <v>24</v>
      </c>
      <c r="B21" s="28">
        <v>5.49</v>
      </c>
      <c r="C21" s="28">
        <v>5.1100000000000003</v>
      </c>
      <c r="D21" s="28">
        <v>3.9</v>
      </c>
      <c r="E21" s="28">
        <v>6.23</v>
      </c>
      <c r="F21" s="28">
        <v>9.86</v>
      </c>
      <c r="G21" s="28">
        <v>13.84</v>
      </c>
      <c r="H21" s="28">
        <v>12.94</v>
      </c>
      <c r="I21" s="28">
        <v>12.25</v>
      </c>
      <c r="J21" s="28">
        <v>17.579999999999998</v>
      </c>
      <c r="K21" s="28">
        <v>17</v>
      </c>
      <c r="L21" s="29">
        <v>21.88</v>
      </c>
      <c r="M21" s="28">
        <v>18.78</v>
      </c>
      <c r="N21" s="28">
        <v>18.579999999999998</v>
      </c>
      <c r="O21" s="28">
        <v>16.04</v>
      </c>
      <c r="P21" s="20"/>
    </row>
    <row r="22" spans="1:16" x14ac:dyDescent="0.2">
      <c r="A22" s="15" t="s">
        <v>32</v>
      </c>
      <c r="B22" s="18">
        <v>7.42</v>
      </c>
      <c r="C22" s="18">
        <v>9.85</v>
      </c>
      <c r="D22" s="18">
        <v>9.69</v>
      </c>
      <c r="E22" s="18">
        <v>9.9</v>
      </c>
      <c r="F22" s="18">
        <v>13.47</v>
      </c>
      <c r="G22" s="18">
        <v>11.18</v>
      </c>
      <c r="H22" s="18">
        <v>13.67</v>
      </c>
      <c r="I22" s="18">
        <v>12.23</v>
      </c>
      <c r="J22" s="18">
        <v>10.210000000000001</v>
      </c>
      <c r="K22" s="18">
        <v>13.99</v>
      </c>
      <c r="L22" s="23">
        <v>20</v>
      </c>
      <c r="M22" s="18">
        <v>17.29</v>
      </c>
      <c r="N22" s="18">
        <v>16.059999999999999</v>
      </c>
      <c r="O22" s="18">
        <v>20.65</v>
      </c>
      <c r="P22" s="20"/>
    </row>
    <row r="23" spans="1:16" x14ac:dyDescent="0.2">
      <c r="A23" s="15" t="s">
        <v>33</v>
      </c>
      <c r="B23" s="18">
        <v>1.34</v>
      </c>
      <c r="C23" s="18">
        <v>1.26</v>
      </c>
      <c r="D23" s="18">
        <v>1</v>
      </c>
      <c r="E23" s="18">
        <v>1.08</v>
      </c>
      <c r="F23" s="18">
        <v>1.3</v>
      </c>
      <c r="G23" s="18">
        <v>2.63</v>
      </c>
      <c r="H23" s="18">
        <v>4.05</v>
      </c>
      <c r="I23" s="18">
        <v>4.2</v>
      </c>
      <c r="J23" s="18">
        <v>4.1399999999999997</v>
      </c>
      <c r="K23" s="18">
        <v>3.98</v>
      </c>
      <c r="L23" s="23">
        <v>4.01</v>
      </c>
      <c r="M23" s="18">
        <v>4.3</v>
      </c>
      <c r="N23" s="18">
        <v>4.6399999999999997</v>
      </c>
      <c r="O23" s="18">
        <v>4.75</v>
      </c>
      <c r="P23" s="20"/>
    </row>
    <row r="24" spans="1:16" x14ac:dyDescent="0.2">
      <c r="A24" s="15" t="s">
        <v>28</v>
      </c>
      <c r="B24" s="18">
        <v>1.81</v>
      </c>
      <c r="C24" s="18">
        <v>0.56999999999999995</v>
      </c>
      <c r="D24" s="18">
        <v>0.61</v>
      </c>
      <c r="E24" s="18">
        <v>3.1</v>
      </c>
      <c r="F24" s="18">
        <v>3.62</v>
      </c>
      <c r="G24" s="18">
        <v>3.02</v>
      </c>
      <c r="H24" s="18">
        <v>13.51</v>
      </c>
      <c r="I24" s="18">
        <v>2.39</v>
      </c>
      <c r="J24" s="18">
        <v>1.38</v>
      </c>
      <c r="K24" s="18">
        <v>2.11</v>
      </c>
      <c r="L24" s="23">
        <v>1.44</v>
      </c>
      <c r="M24" s="18">
        <v>1.65</v>
      </c>
      <c r="N24" s="18">
        <v>0.3</v>
      </c>
      <c r="O24" s="18">
        <v>2.5499999999999998</v>
      </c>
      <c r="P24" s="20"/>
    </row>
    <row r="25" spans="1:16" x14ac:dyDescent="0.2">
      <c r="A25" s="15" t="s">
        <v>16</v>
      </c>
      <c r="B25" s="18">
        <v>7.08</v>
      </c>
      <c r="C25" s="18">
        <v>9.4600000000000009</v>
      </c>
      <c r="D25" s="18">
        <v>9.0299999999999994</v>
      </c>
      <c r="E25" s="18">
        <v>12.82</v>
      </c>
      <c r="F25" s="18">
        <v>15.11</v>
      </c>
      <c r="G25" s="18">
        <v>21.39</v>
      </c>
      <c r="H25" s="18">
        <v>19.440000000000001</v>
      </c>
      <c r="I25" s="18">
        <v>18.04</v>
      </c>
      <c r="J25" s="18">
        <v>20.79</v>
      </c>
      <c r="K25" s="18">
        <v>80.430000000000007</v>
      </c>
      <c r="L25" s="23">
        <v>75.05</v>
      </c>
      <c r="M25" s="18">
        <v>69.48</v>
      </c>
      <c r="N25" s="18">
        <v>95.94</v>
      </c>
      <c r="O25" s="18">
        <v>89.81</v>
      </c>
      <c r="P25" s="20"/>
    </row>
    <row r="26" spans="1:16" x14ac:dyDescent="0.2">
      <c r="A26" s="15" t="s">
        <v>10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23">
        <v>0</v>
      </c>
      <c r="M26" s="18">
        <v>0</v>
      </c>
      <c r="N26" s="18">
        <v>0</v>
      </c>
      <c r="O26" s="18">
        <v>0</v>
      </c>
      <c r="P26" s="20"/>
    </row>
    <row r="27" spans="1:16" ht="17" thickBot="1" x14ac:dyDescent="0.25">
      <c r="A27" s="38" t="s">
        <v>34</v>
      </c>
      <c r="B27" s="28">
        <v>12.4</v>
      </c>
      <c r="C27" s="28">
        <v>13.99</v>
      </c>
      <c r="D27" s="28">
        <v>22.61</v>
      </c>
      <c r="E27" s="28">
        <v>24.55</v>
      </c>
      <c r="F27" s="28">
        <v>18.04</v>
      </c>
      <c r="G27" s="28">
        <v>20.52</v>
      </c>
      <c r="H27" s="28">
        <v>19.78</v>
      </c>
      <c r="I27" s="28">
        <v>25.67</v>
      </c>
      <c r="J27" s="28">
        <v>25.7</v>
      </c>
      <c r="K27" s="28">
        <v>26.38</v>
      </c>
      <c r="L27" s="29">
        <v>104.79</v>
      </c>
      <c r="M27" s="28">
        <v>13.36</v>
      </c>
      <c r="N27" s="28">
        <v>46.25</v>
      </c>
      <c r="O27" s="28">
        <v>5.18</v>
      </c>
      <c r="P27" s="20"/>
    </row>
    <row r="28" spans="1:16" s="37" customFormat="1" ht="17" thickBot="1" x14ac:dyDescent="0.25">
      <c r="A28" s="44" t="s">
        <v>36</v>
      </c>
      <c r="B28" s="35">
        <f>B15+B16+B17+B19+B20+B22+B23+B24+B25+B26+B27+B18</f>
        <v>747.79</v>
      </c>
      <c r="C28" s="35">
        <f t="shared" ref="C28:M28" si="1">C15+C16+C17+C19+C20+C22+C23+C24+C25+C26+C27+C18</f>
        <v>891.36000000000013</v>
      </c>
      <c r="D28" s="35">
        <f t="shared" si="1"/>
        <v>953.77</v>
      </c>
      <c r="E28" s="35">
        <f t="shared" si="1"/>
        <v>1045.8600000000001</v>
      </c>
      <c r="F28" s="35">
        <f t="shared" si="1"/>
        <v>1193.1099999999999</v>
      </c>
      <c r="G28" s="35">
        <f>G15+G16+G17+G19+G20+G22+G23+G24+G25+G26+G27+G18</f>
        <v>1307.4900000000002</v>
      </c>
      <c r="H28" s="35">
        <f t="shared" si="1"/>
        <v>1540.97</v>
      </c>
      <c r="I28" s="35">
        <f t="shared" si="1"/>
        <v>1557.3400000000001</v>
      </c>
      <c r="J28" s="35">
        <f t="shared" si="1"/>
        <v>1705.96</v>
      </c>
      <c r="K28" s="35">
        <f t="shared" si="1"/>
        <v>1936.86</v>
      </c>
      <c r="L28" s="36">
        <f t="shared" si="1"/>
        <v>2338.0600000000004</v>
      </c>
      <c r="M28" s="35">
        <f t="shared" si="1"/>
        <v>2360.6400000000003</v>
      </c>
      <c r="N28" s="35">
        <f>N15+N16+N17+N19+N20+N22+N23+N24+N25+N26+N27+N18</f>
        <v>2551.64</v>
      </c>
      <c r="O28" s="35">
        <f>O15+O16+O17+O19+O20+O22+O23+O24+O25+O26+O27+O18</f>
        <v>2860.94</v>
      </c>
      <c r="P28" s="33"/>
    </row>
    <row r="29" spans="1:16" x14ac:dyDescent="0.2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16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16" x14ac:dyDescent="0.2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16" x14ac:dyDescent="0.2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2:15" x14ac:dyDescent="0.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2:15" x14ac:dyDescent="0.2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2:15" x14ac:dyDescent="0.2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2:15" x14ac:dyDescent="0.2">
      <c r="B36" s="24"/>
    </row>
    <row r="37" spans="2:15" x14ac:dyDescent="0.2">
      <c r="B37" s="24"/>
      <c r="F37" s="24"/>
      <c r="I37"/>
      <c r="J37"/>
      <c r="K37" s="22"/>
    </row>
  </sheetData>
  <pageMargins left="0.7" right="0.7" top="0.75" bottom="0.75" header="0.3" footer="0.3"/>
  <pageSetup paperSize="9" scale="53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"/>
    </sheetView>
  </sheetViews>
  <sheetFormatPr baseColWidth="10" defaultColWidth="9.1640625" defaultRowHeight="16" x14ac:dyDescent="0.2"/>
  <cols>
    <col min="1" max="1" width="49.1640625" style="1" bestFit="1" customWidth="1"/>
    <col min="2" max="2" width="18.83203125" style="1" bestFit="1" customWidth="1"/>
    <col min="3" max="13" width="17.83203125" style="1" bestFit="1" customWidth="1"/>
    <col min="14" max="15" width="18.5" style="1" bestFit="1" customWidth="1"/>
    <col min="16" max="16384" width="9.1640625" style="1"/>
  </cols>
  <sheetData>
    <row r="1" spans="1:15" x14ac:dyDescent="0.2">
      <c r="A1" s="9" t="s">
        <v>0</v>
      </c>
      <c r="B1" s="8">
        <v>40633</v>
      </c>
      <c r="C1" s="8">
        <v>40999</v>
      </c>
      <c r="D1" s="8">
        <v>41364</v>
      </c>
      <c r="E1" s="8">
        <v>41729</v>
      </c>
      <c r="F1" s="8">
        <v>42094</v>
      </c>
      <c r="G1" s="8">
        <v>42460</v>
      </c>
      <c r="H1" s="8">
        <v>42825</v>
      </c>
      <c r="I1" s="8">
        <v>43190</v>
      </c>
      <c r="J1" s="8">
        <v>43555</v>
      </c>
      <c r="K1" s="8">
        <v>43921</v>
      </c>
      <c r="L1" s="8">
        <v>44286</v>
      </c>
      <c r="M1" s="11">
        <v>44651</v>
      </c>
      <c r="N1" s="12">
        <v>45016</v>
      </c>
      <c r="O1" s="12">
        <v>45382</v>
      </c>
    </row>
    <row r="2" spans="1:15" s="6" customFormat="1" x14ac:dyDescent="0.2">
      <c r="A2" s="5" t="s">
        <v>1</v>
      </c>
      <c r="B2" s="21">
        <v>54.23</v>
      </c>
      <c r="C2" s="21">
        <v>67.48</v>
      </c>
      <c r="D2" s="46">
        <v>77.760000000000005</v>
      </c>
      <c r="E2" s="46">
        <v>88.37</v>
      </c>
      <c r="F2" s="21">
        <v>100.76</v>
      </c>
      <c r="G2" s="21">
        <v>108.14</v>
      </c>
      <c r="H2" s="21">
        <v>115.65</v>
      </c>
      <c r="I2" s="21">
        <v>120.2</v>
      </c>
      <c r="J2" s="21">
        <v>128.6</v>
      </c>
      <c r="K2" s="21">
        <v>140.03</v>
      </c>
      <c r="L2" s="21">
        <v>139.94</v>
      </c>
      <c r="M2" s="21">
        <v>144.11000000000001</v>
      </c>
      <c r="N2" s="21">
        <v>159.86000000000001</v>
      </c>
      <c r="O2" s="21">
        <v>193.78</v>
      </c>
    </row>
    <row r="3" spans="1:15" x14ac:dyDescent="0.2">
      <c r="A3" s="7" t="s">
        <v>18</v>
      </c>
      <c r="B3" s="21">
        <f>5.49+0.82</f>
        <v>6.3100000000000005</v>
      </c>
      <c r="C3" s="21">
        <f>6.32+2.5</f>
        <v>8.82</v>
      </c>
      <c r="D3" s="46">
        <f>7.83+6</f>
        <v>13.83</v>
      </c>
      <c r="E3" s="46">
        <f>13.02</f>
        <v>13.02</v>
      </c>
      <c r="F3" s="21">
        <v>15.37</v>
      </c>
      <c r="G3" s="21">
        <v>12.24</v>
      </c>
      <c r="H3" s="21">
        <v>12.55</v>
      </c>
      <c r="I3" s="21">
        <v>19</v>
      </c>
      <c r="J3" s="21">
        <v>16.43</v>
      </c>
      <c r="K3" s="21">
        <v>22.13</v>
      </c>
      <c r="L3" s="21">
        <v>31.44</v>
      </c>
      <c r="M3" s="21">
        <v>27.8</v>
      </c>
      <c r="N3" s="21">
        <v>28.54</v>
      </c>
      <c r="O3" s="21">
        <v>20.78</v>
      </c>
    </row>
    <row r="4" spans="1:15" s="17" customFormat="1" x14ac:dyDescent="0.2">
      <c r="A4" s="16" t="s">
        <v>22</v>
      </c>
      <c r="B4" s="19">
        <f t="shared" ref="B4:I4" si="0">B2+B3</f>
        <v>60.54</v>
      </c>
      <c r="C4" s="19">
        <f t="shared" si="0"/>
        <v>76.300000000000011</v>
      </c>
      <c r="D4" s="19">
        <f t="shared" si="0"/>
        <v>91.59</v>
      </c>
      <c r="E4" s="19">
        <f t="shared" si="0"/>
        <v>101.39</v>
      </c>
      <c r="F4" s="19">
        <f t="shared" si="0"/>
        <v>116.13000000000001</v>
      </c>
      <c r="G4" s="19">
        <f t="shared" si="0"/>
        <v>120.38</v>
      </c>
      <c r="H4" s="19">
        <f t="shared" si="0"/>
        <v>128.20000000000002</v>
      </c>
      <c r="I4" s="19">
        <f t="shared" si="0"/>
        <v>139.19999999999999</v>
      </c>
      <c r="J4" s="19">
        <f>J2+J3</f>
        <v>145.03</v>
      </c>
      <c r="K4" s="19">
        <f>K2+K3</f>
        <v>162.16</v>
      </c>
      <c r="L4" s="19">
        <f>L2+L3</f>
        <v>171.38</v>
      </c>
      <c r="M4" s="19">
        <f>M2+M3</f>
        <v>171.91000000000003</v>
      </c>
      <c r="N4" s="19">
        <f>+N2+N3</f>
        <v>188.4</v>
      </c>
      <c r="O4" s="19">
        <f>+O2+O3</f>
        <v>214.56</v>
      </c>
    </row>
    <row r="5" spans="1:15" x14ac:dyDescent="0.2">
      <c r="A5" s="7" t="s">
        <v>12</v>
      </c>
      <c r="B5" s="21">
        <v>31.58</v>
      </c>
      <c r="C5" s="21">
        <v>45.4</v>
      </c>
      <c r="D5" s="21">
        <v>54.19</v>
      </c>
      <c r="E5" s="21">
        <v>62.62</v>
      </c>
      <c r="F5" s="21">
        <v>71.069999999999993</v>
      </c>
      <c r="G5" s="21">
        <v>76.319999999999993</v>
      </c>
      <c r="H5" s="21">
        <v>82.74</v>
      </c>
      <c r="I5" s="21">
        <v>82.44</v>
      </c>
      <c r="J5" s="21">
        <v>86.51</v>
      </c>
      <c r="K5" s="21">
        <v>101.85</v>
      </c>
      <c r="L5" s="21">
        <v>108.52</v>
      </c>
      <c r="M5" s="21">
        <v>104.68</v>
      </c>
      <c r="N5" s="21">
        <v>109.37</v>
      </c>
      <c r="O5" s="21">
        <v>144.26</v>
      </c>
    </row>
    <row r="6" spans="1:15" x14ac:dyDescent="0.2">
      <c r="A6" s="7" t="s">
        <v>13</v>
      </c>
      <c r="B6" s="21">
        <f>10.41+4.17</f>
        <v>14.58</v>
      </c>
      <c r="C6" s="21">
        <f>11.15+4.66</f>
        <v>15.81</v>
      </c>
      <c r="D6" s="21">
        <f>14.06+4.65</f>
        <v>18.71</v>
      </c>
      <c r="E6" s="21">
        <f>15.53+5.66</f>
        <v>21.189999999999998</v>
      </c>
      <c r="F6" s="21">
        <f>16.02+6.31</f>
        <v>22.33</v>
      </c>
      <c r="G6" s="21">
        <f>16.3+7.22</f>
        <v>23.52</v>
      </c>
      <c r="H6" s="21">
        <f>17.27+6.81</f>
        <v>24.08</v>
      </c>
      <c r="I6" s="21">
        <f>19.42+7.72</f>
        <v>27.14</v>
      </c>
      <c r="J6" s="21">
        <f>20.86+7.5+0.4</f>
        <v>28.759999999999998</v>
      </c>
      <c r="K6" s="21">
        <v>29.84</v>
      </c>
      <c r="L6" s="21">
        <v>34.53</v>
      </c>
      <c r="M6" s="21">
        <f>33.9</f>
        <v>33.9</v>
      </c>
      <c r="N6" s="21">
        <f>29.68+12.67</f>
        <v>42.35</v>
      </c>
      <c r="O6" s="21">
        <f>27.96+11.48</f>
        <v>39.44</v>
      </c>
    </row>
    <row r="7" spans="1:15" x14ac:dyDescent="0.2">
      <c r="A7" s="7" t="s">
        <v>23</v>
      </c>
      <c r="B7" s="21">
        <v>2.42</v>
      </c>
      <c r="C7" s="21">
        <v>2.5299999999999998</v>
      </c>
      <c r="D7" s="21">
        <v>2.69</v>
      </c>
      <c r="E7" s="21">
        <v>2.79</v>
      </c>
      <c r="F7" s="21">
        <v>3.38</v>
      </c>
      <c r="G7" s="21">
        <v>5.0199999999999996</v>
      </c>
      <c r="H7" s="21">
        <v>5.64</v>
      </c>
      <c r="I7" s="21">
        <f>6.57+0.83</f>
        <v>7.4</v>
      </c>
      <c r="J7" s="21">
        <v>5.64</v>
      </c>
      <c r="K7" s="21">
        <v>6.41</v>
      </c>
      <c r="L7" s="21">
        <f>4.91+1.34+0.4</f>
        <v>6.65</v>
      </c>
      <c r="M7" s="21">
        <v>12.67</v>
      </c>
      <c r="N7" s="21">
        <f>7.27+0.08</f>
        <v>7.35</v>
      </c>
      <c r="O7" s="21">
        <f>4.9+0.01</f>
        <v>4.91</v>
      </c>
    </row>
    <row r="8" spans="1:15" s="17" customFormat="1" x14ac:dyDescent="0.2">
      <c r="A8" s="16" t="s">
        <v>14</v>
      </c>
      <c r="B8" s="19">
        <f>B6+B7</f>
        <v>17</v>
      </c>
      <c r="C8" s="19">
        <f t="shared" ref="C8:I8" si="1">C6+C7</f>
        <v>18.34</v>
      </c>
      <c r="D8" s="19">
        <f t="shared" si="1"/>
        <v>21.400000000000002</v>
      </c>
      <c r="E8" s="19">
        <f t="shared" si="1"/>
        <v>23.979999999999997</v>
      </c>
      <c r="F8" s="19">
        <f t="shared" si="1"/>
        <v>25.709999999999997</v>
      </c>
      <c r="G8" s="19">
        <f t="shared" si="1"/>
        <v>28.54</v>
      </c>
      <c r="H8" s="19">
        <f t="shared" si="1"/>
        <v>29.72</v>
      </c>
      <c r="I8" s="19">
        <f t="shared" si="1"/>
        <v>34.54</v>
      </c>
      <c r="J8" s="19">
        <f t="shared" ref="J8:O8" si="2">J6+J7</f>
        <v>34.4</v>
      </c>
      <c r="K8" s="19">
        <f t="shared" si="2"/>
        <v>36.25</v>
      </c>
      <c r="L8" s="19">
        <f>L6+L7</f>
        <v>41.18</v>
      </c>
      <c r="M8" s="19">
        <f t="shared" si="2"/>
        <v>46.57</v>
      </c>
      <c r="N8" s="19">
        <f t="shared" si="2"/>
        <v>49.7</v>
      </c>
      <c r="O8" s="19">
        <f t="shared" si="2"/>
        <v>44.349999999999994</v>
      </c>
    </row>
    <row r="9" spans="1:15" x14ac:dyDescent="0.2">
      <c r="A9" s="7" t="s">
        <v>17</v>
      </c>
      <c r="B9" s="21">
        <f>+B4-B8-B5</f>
        <v>11.96</v>
      </c>
      <c r="C9" s="21">
        <f>+C4-C8-C5</f>
        <v>12.560000000000009</v>
      </c>
      <c r="D9" s="21">
        <f t="shared" ref="D9:M9" si="3">+D4-D8-D5</f>
        <v>16</v>
      </c>
      <c r="E9" s="21">
        <f t="shared" si="3"/>
        <v>14.79</v>
      </c>
      <c r="F9" s="21">
        <f t="shared" si="3"/>
        <v>19.350000000000023</v>
      </c>
      <c r="G9" s="21">
        <f t="shared" si="3"/>
        <v>15.52000000000001</v>
      </c>
      <c r="H9" s="21">
        <f t="shared" si="3"/>
        <v>15.740000000000023</v>
      </c>
      <c r="I9" s="21">
        <f t="shared" si="3"/>
        <v>22.22</v>
      </c>
      <c r="J9" s="21">
        <f t="shared" si="3"/>
        <v>24.11999999999999</v>
      </c>
      <c r="K9" s="21">
        <f t="shared" si="3"/>
        <v>24.060000000000002</v>
      </c>
      <c r="L9" s="21">
        <f>+L4-L8-L5</f>
        <v>21.679999999999993</v>
      </c>
      <c r="M9" s="21">
        <f t="shared" si="3"/>
        <v>20.660000000000025</v>
      </c>
      <c r="N9" s="21">
        <f>+N4-N8-N5</f>
        <v>29.329999999999984</v>
      </c>
      <c r="O9" s="21">
        <f>+O4-O8-O5</f>
        <v>25.950000000000017</v>
      </c>
    </row>
    <row r="10" spans="1:15" x14ac:dyDescent="0.2">
      <c r="A10" s="7" t="s">
        <v>15</v>
      </c>
      <c r="B10" s="21">
        <f>6.62+0.82</f>
        <v>7.44</v>
      </c>
      <c r="C10" s="21">
        <v>7.89</v>
      </c>
      <c r="D10" s="21">
        <v>10.33</v>
      </c>
      <c r="E10" s="21">
        <v>8.85</v>
      </c>
      <c r="F10" s="21">
        <v>11.5</v>
      </c>
      <c r="G10" s="21">
        <v>8.32</v>
      </c>
      <c r="H10" s="21">
        <v>5.78</v>
      </c>
      <c r="I10" s="21">
        <v>11.97</v>
      </c>
      <c r="J10" s="21">
        <v>12.09</v>
      </c>
      <c r="K10" s="21">
        <v>9.7200000000000006</v>
      </c>
      <c r="L10" s="21">
        <v>9.26</v>
      </c>
      <c r="M10" s="21">
        <v>7.86</v>
      </c>
      <c r="N10" s="21">
        <v>15.79</v>
      </c>
      <c r="O10" s="21">
        <f>7.53</f>
        <v>7.53</v>
      </c>
    </row>
    <row r="11" spans="1:15" s="17" customFormat="1" x14ac:dyDescent="0.2">
      <c r="A11" s="16" t="s">
        <v>38</v>
      </c>
      <c r="B11" s="19">
        <f>B9-B10</f>
        <v>4.5200000000000005</v>
      </c>
      <c r="C11" s="19">
        <f t="shared" ref="C11:I11" si="4">C9-C10</f>
        <v>4.6700000000000097</v>
      </c>
      <c r="D11" s="19">
        <f t="shared" si="4"/>
        <v>5.67</v>
      </c>
      <c r="E11" s="19">
        <f t="shared" si="4"/>
        <v>5.9399999999999995</v>
      </c>
      <c r="F11" s="19">
        <f t="shared" si="4"/>
        <v>7.8500000000000227</v>
      </c>
      <c r="G11" s="19">
        <f t="shared" si="4"/>
        <v>7.2000000000000099</v>
      </c>
      <c r="H11" s="19">
        <f t="shared" si="4"/>
        <v>9.9600000000000222</v>
      </c>
      <c r="I11" s="19">
        <f t="shared" si="4"/>
        <v>10.249999999999998</v>
      </c>
      <c r="J11" s="19">
        <f>J9-J10</f>
        <v>12.02999999999999</v>
      </c>
      <c r="K11" s="19">
        <f>K9-K10</f>
        <v>14.340000000000002</v>
      </c>
      <c r="L11" s="19">
        <f>L9-L10</f>
        <v>12.419999999999993</v>
      </c>
      <c r="M11" s="19">
        <f>M9-M10</f>
        <v>12.800000000000026</v>
      </c>
      <c r="N11" s="19">
        <f>+N9-N10</f>
        <v>13.539999999999985</v>
      </c>
      <c r="O11" s="19">
        <f>+O9-O10</f>
        <v>18.420000000000016</v>
      </c>
    </row>
    <row r="12" spans="1:15" x14ac:dyDescent="0.2"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5" x14ac:dyDescent="0.2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x14ac:dyDescent="0.2"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x14ac:dyDescent="0.2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3:15" x14ac:dyDescent="0.2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</sheetData>
  <phoneticPr fontId="1" type="noConversion"/>
  <pageMargins left="0.7" right="0.7" top="0.75" bottom="0.75" header="0.3" footer="0.3"/>
  <pageSetup paperSize="9" scale="77" fitToHeight="0" orientation="portrait"/>
</worksheet>
</file>

<file path=docMetadata/LabelInfo.xml><?xml version="1.0" encoding="utf-8"?>
<clbl:labelList xmlns:clbl="http://schemas.microsoft.com/office/2020/mipLabelMetadata">
  <clbl:label id="{cf3212bd-797d-4ecd-a8a7-8deb8b8877aa}" enabled="1" method="Standard" siteId="{703b977e-4eb6-4dfc-af2d-db5f73a01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</vt:lpstr>
      <vt:lpstr>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Barad</dc:creator>
  <cp:lastModifiedBy>Ashutosh Jaiswal</cp:lastModifiedBy>
  <dcterms:created xsi:type="dcterms:W3CDTF">2006-09-16T00:00:00Z</dcterms:created>
  <dcterms:modified xsi:type="dcterms:W3CDTF">2026-04-12T05:43:22Z</dcterms:modified>
</cp:coreProperties>
</file>